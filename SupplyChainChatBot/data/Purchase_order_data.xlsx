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Drexel\Courses\Spring 2025\INFO 670\git repo\INFO-670\SupplyChainChatBot\data\"/>
    </mc:Choice>
  </mc:AlternateContent>
  <xr:revisionPtr revIDLastSave="0" documentId="13_ncr:1_{B1086BBC-7E7A-4713-860B-5C23A0DED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33" i="1"/>
  <c r="E36" i="1"/>
  <c r="E45" i="1"/>
  <c r="E21" i="1"/>
  <c r="E47" i="1"/>
  <c r="E46" i="1"/>
  <c r="E5" i="1"/>
  <c r="E8" i="1"/>
  <c r="E12" i="1"/>
  <c r="E37" i="1"/>
  <c r="E40" i="1"/>
  <c r="E2" i="1"/>
  <c r="E23" i="1"/>
  <c r="E49" i="1"/>
  <c r="E6" i="1"/>
  <c r="E3" i="1"/>
  <c r="E10" i="1"/>
  <c r="E18" i="1"/>
  <c r="E30" i="1"/>
  <c r="E25" i="1"/>
  <c r="E24" i="1"/>
  <c r="E35" i="1"/>
  <c r="E38" i="1"/>
  <c r="E34" i="1"/>
  <c r="E31" i="1"/>
  <c r="E22" i="1"/>
  <c r="E13" i="1"/>
  <c r="E39" i="1"/>
  <c r="E29" i="1"/>
  <c r="E50" i="1"/>
  <c r="E14" i="1"/>
  <c r="E7" i="1"/>
  <c r="E27" i="1"/>
  <c r="E48" i="1"/>
  <c r="E20" i="1"/>
  <c r="E16" i="1"/>
  <c r="E26" i="1"/>
  <c r="E51" i="1"/>
  <c r="E4" i="1"/>
  <c r="E32" i="1"/>
  <c r="E42" i="1"/>
  <c r="E28" i="1"/>
  <c r="E43" i="1"/>
  <c r="E11" i="1"/>
  <c r="E41" i="1"/>
  <c r="E17" i="1"/>
  <c r="E19" i="1"/>
  <c r="E9" i="1"/>
  <c r="E44" i="1"/>
  <c r="I32" i="1"/>
  <c r="I42" i="1"/>
  <c r="I28" i="1"/>
  <c r="I43" i="1"/>
  <c r="I11" i="1"/>
  <c r="I41" i="1"/>
  <c r="I4" i="1"/>
  <c r="I50" i="1"/>
  <c r="I14" i="1"/>
  <c r="I7" i="1"/>
  <c r="I27" i="1"/>
  <c r="I48" i="1"/>
  <c r="I20" i="1"/>
  <c r="I29" i="1"/>
  <c r="I25" i="1"/>
  <c r="I24" i="1"/>
  <c r="I35" i="1"/>
  <c r="I38" i="1"/>
  <c r="I34" i="1"/>
  <c r="I31" i="1"/>
  <c r="I30" i="1"/>
  <c r="I37" i="1"/>
  <c r="I40" i="1"/>
  <c r="I2" i="1"/>
  <c r="I23" i="1"/>
  <c r="I49" i="1"/>
  <c r="I6" i="1"/>
  <c r="I12" i="1"/>
  <c r="I33" i="1"/>
  <c r="I36" i="1"/>
  <c r="I45" i="1"/>
  <c r="I21" i="1"/>
  <c r="I47" i="1"/>
  <c r="I15" i="1"/>
</calcChain>
</file>

<file path=xl/sharedStrings.xml><?xml version="1.0" encoding="utf-8"?>
<sst xmlns="http://schemas.openxmlformats.org/spreadsheetml/2006/main" count="262" uniqueCount="94">
  <si>
    <t>Plant</t>
  </si>
  <si>
    <t>Supplier</t>
  </si>
  <si>
    <t>Status</t>
  </si>
  <si>
    <t>Delivered Quantity</t>
  </si>
  <si>
    <t>4500000617</t>
  </si>
  <si>
    <t>Open</t>
  </si>
  <si>
    <t>4500002976</t>
  </si>
  <si>
    <t>4500003263</t>
  </si>
  <si>
    <t>4500009834</t>
  </si>
  <si>
    <t>4500001688</t>
  </si>
  <si>
    <t>1000002675</t>
  </si>
  <si>
    <t>4500007750</t>
  </si>
  <si>
    <t>F000023456</t>
  </si>
  <si>
    <t>4500001252</t>
  </si>
  <si>
    <t>4500007057</t>
  </si>
  <si>
    <t>4500009736</t>
  </si>
  <si>
    <t>4500000989</t>
  </si>
  <si>
    <t>4500007666</t>
  </si>
  <si>
    <t>F000034567</t>
  </si>
  <si>
    <t>4500000747</t>
  </si>
  <si>
    <t>4500002400</t>
  </si>
  <si>
    <t>4500000847</t>
  </si>
  <si>
    <t>4500004903</t>
  </si>
  <si>
    <t>1000004692</t>
  </si>
  <si>
    <t>4500007761</t>
  </si>
  <si>
    <t>F000045678</t>
  </si>
  <si>
    <t>4500008743</t>
  </si>
  <si>
    <t>4500008078</t>
  </si>
  <si>
    <t>4500004633</t>
  </si>
  <si>
    <t>4500002276</t>
  </si>
  <si>
    <t>4500002870</t>
  </si>
  <si>
    <t>4500001425</t>
  </si>
  <si>
    <t>4500003193</t>
  </si>
  <si>
    <t>4500001598</t>
  </si>
  <si>
    <t>4500004556</t>
  </si>
  <si>
    <t>4500004034</t>
  </si>
  <si>
    <t>F000067890</t>
  </si>
  <si>
    <t>4500001900</t>
  </si>
  <si>
    <t>4500000806</t>
  </si>
  <si>
    <t>4500009105</t>
  </si>
  <si>
    <t>1000000017</t>
  </si>
  <si>
    <t>4500002892</t>
  </si>
  <si>
    <t>4500008020</t>
  </si>
  <si>
    <t>F000078901</t>
  </si>
  <si>
    <t>4500005429</t>
  </si>
  <si>
    <t>1000008545</t>
  </si>
  <si>
    <t>4500009874</t>
  </si>
  <si>
    <t>1000006344</t>
  </si>
  <si>
    <t>4500009527</t>
  </si>
  <si>
    <t>4500003984</t>
  </si>
  <si>
    <t>4500003334</t>
  </si>
  <si>
    <t>F000089012</t>
  </si>
  <si>
    <t>4500002337</t>
  </si>
  <si>
    <t>4500003688</t>
  </si>
  <si>
    <t>4500009285</t>
  </si>
  <si>
    <t>4500005906</t>
  </si>
  <si>
    <t>4500009934</t>
  </si>
  <si>
    <t>F000090123</t>
  </si>
  <si>
    <t>4500000939</t>
  </si>
  <si>
    <t>4500000786</t>
  </si>
  <si>
    <t>4500006108</t>
  </si>
  <si>
    <t>4500002114</t>
  </si>
  <si>
    <t>4500006941</t>
  </si>
  <si>
    <t>F000010234</t>
  </si>
  <si>
    <t>4500003069</t>
  </si>
  <si>
    <t>4500009193</t>
  </si>
  <si>
    <t>4500008276</t>
  </si>
  <si>
    <t>4500005028</t>
  </si>
  <si>
    <t>Approval</t>
  </si>
  <si>
    <t>Approval Level</t>
  </si>
  <si>
    <t>Actual Delivery Date</t>
  </si>
  <si>
    <t>2024-07-05</t>
  </si>
  <si>
    <t>2024-12-31</t>
  </si>
  <si>
    <t>2024-07-18</t>
  </si>
  <si>
    <t>2024-09-20</t>
  </si>
  <si>
    <t>2024-08-12</t>
  </si>
  <si>
    <t>2024-08-14</t>
  </si>
  <si>
    <t>2024-08-01</t>
  </si>
  <si>
    <t>2024-08-16</t>
  </si>
  <si>
    <t>2024-08-20</t>
  </si>
  <si>
    <t>2024-08-30</t>
  </si>
  <si>
    <t>2024-08-09</t>
  </si>
  <si>
    <t>2024-08-21</t>
  </si>
  <si>
    <t>2024-07-08</t>
  </si>
  <si>
    <t>2024-08-08</t>
  </si>
  <si>
    <t>2024-08-27</t>
  </si>
  <si>
    <t>2024-07-21</t>
  </si>
  <si>
    <t>Delivered</t>
  </si>
  <si>
    <t>poNumber</t>
  </si>
  <si>
    <t>orderDate</t>
  </si>
  <si>
    <t>totalAmount</t>
  </si>
  <si>
    <t>itemName</t>
  </si>
  <si>
    <t>unitPrice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</si>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</sst>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G38" sqref="G38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2.77734375" bestFit="1" customWidth="1"/>
    <col min="7" max="7" width="12" customWidth="1"/>
    <col min="8" max="8" width="10.6640625" bestFit="1" customWidth="1"/>
    <col min="9" max="9" width="12.44140625" customWidth="1"/>
    <col min="10" max="10" width="17.33203125" style="3" bestFit="1" customWidth="1"/>
    <col min="11" max="11" width="17.33203125" customWidth="1"/>
    <col min="12" max="12" width="18" bestFit="1" customWidth="1"/>
  </cols>
  <sheetData>
    <row r="1" spans="1:12" x14ac:dyDescent="0.3">
      <c r="A1" s="1" t="s">
        <v>88</v>
      </c>
      <c r="B1" s="1" t="s">
        <v>91</v>
      </c>
      <c r="C1" s="1" t="s">
        <v>93</v>
      </c>
      <c r="D1" s="1" t="s">
        <v>92</v>
      </c>
      <c r="E1" s="1" t="s">
        <v>90</v>
      </c>
      <c r="F1" s="1" t="s">
        <v>0</v>
      </c>
      <c r="G1" s="1" t="s">
        <v>1</v>
      </c>
      <c r="H1" s="1" t="s">
        <v>2</v>
      </c>
      <c r="I1" s="1" t="s">
        <v>3</v>
      </c>
      <c r="J1" s="4" t="s">
        <v>89</v>
      </c>
      <c r="K1" s="2" t="s">
        <v>70</v>
      </c>
      <c r="L1" s="2" t="s">
        <v>69</v>
      </c>
    </row>
    <row r="2" spans="1:12" x14ac:dyDescent="0.3">
      <c r="A2" t="s">
        <v>4</v>
      </c>
      <c r="B2" t="s">
        <v>18</v>
      </c>
      <c r="C2">
        <v>118</v>
      </c>
      <c r="D2">
        <v>58.43</v>
      </c>
      <c r="E2">
        <f>D2*C2</f>
        <v>6894.74</v>
      </c>
      <c r="F2">
        <v>9000</v>
      </c>
      <c r="G2" t="s">
        <v>10</v>
      </c>
      <c r="H2" t="s">
        <v>87</v>
      </c>
      <c r="I2">
        <f>C2</f>
        <v>118</v>
      </c>
      <c r="J2" s="3" t="s">
        <v>72</v>
      </c>
      <c r="K2" s="3"/>
      <c r="L2">
        <v>1</v>
      </c>
    </row>
    <row r="3" spans="1:12" x14ac:dyDescent="0.3">
      <c r="A3" t="s">
        <v>19</v>
      </c>
      <c r="B3" t="s">
        <v>51</v>
      </c>
      <c r="C3">
        <v>720</v>
      </c>
      <c r="D3">
        <v>12.09</v>
      </c>
      <c r="E3">
        <f>D3*C3</f>
        <v>8704.7999999999993</v>
      </c>
      <c r="F3">
        <v>8000</v>
      </c>
      <c r="G3" t="s">
        <v>10</v>
      </c>
      <c r="H3" t="s">
        <v>5</v>
      </c>
      <c r="I3">
        <v>0</v>
      </c>
      <c r="J3" s="3" t="s">
        <v>72</v>
      </c>
      <c r="K3" s="3"/>
      <c r="L3">
        <v>3</v>
      </c>
    </row>
    <row r="4" spans="1:12" x14ac:dyDescent="0.3">
      <c r="A4" t="s">
        <v>59</v>
      </c>
      <c r="B4" t="s">
        <v>43</v>
      </c>
      <c r="C4">
        <v>957</v>
      </c>
      <c r="D4">
        <v>99.74</v>
      </c>
      <c r="E4">
        <f>D4*C4</f>
        <v>95451.18</v>
      </c>
      <c r="F4">
        <v>9000</v>
      </c>
      <c r="G4" t="s">
        <v>45</v>
      </c>
      <c r="H4" t="s">
        <v>87</v>
      </c>
      <c r="I4">
        <f>C4</f>
        <v>957</v>
      </c>
      <c r="J4" s="3" t="s">
        <v>84</v>
      </c>
      <c r="K4" s="3"/>
      <c r="L4">
        <v>1</v>
      </c>
    </row>
    <row r="5" spans="1:12" x14ac:dyDescent="0.3">
      <c r="A5" t="s">
        <v>38</v>
      </c>
      <c r="B5" t="s">
        <v>63</v>
      </c>
      <c r="C5">
        <v>166</v>
      </c>
      <c r="D5">
        <v>95.38</v>
      </c>
      <c r="E5">
        <f>D5*C5</f>
        <v>15833.08</v>
      </c>
      <c r="F5">
        <v>5000</v>
      </c>
      <c r="G5" t="s">
        <v>40</v>
      </c>
      <c r="H5" t="s">
        <v>5</v>
      </c>
      <c r="I5">
        <v>36</v>
      </c>
      <c r="J5" s="3" t="s">
        <v>71</v>
      </c>
      <c r="K5" s="3"/>
      <c r="L5">
        <v>3</v>
      </c>
    </row>
    <row r="6" spans="1:12" x14ac:dyDescent="0.3">
      <c r="A6" t="s">
        <v>21</v>
      </c>
      <c r="B6" t="s">
        <v>51</v>
      </c>
      <c r="C6">
        <v>436</v>
      </c>
      <c r="D6">
        <v>76.09</v>
      </c>
      <c r="E6">
        <f>D6*C6</f>
        <v>33175.24</v>
      </c>
      <c r="F6">
        <v>7000</v>
      </c>
      <c r="G6" t="s">
        <v>10</v>
      </c>
      <c r="H6" t="s">
        <v>87</v>
      </c>
      <c r="I6">
        <f>C6</f>
        <v>436</v>
      </c>
      <c r="J6" s="3" t="s">
        <v>79</v>
      </c>
      <c r="K6" s="3"/>
      <c r="L6">
        <v>0</v>
      </c>
    </row>
    <row r="7" spans="1:12" x14ac:dyDescent="0.3">
      <c r="A7" t="s">
        <v>58</v>
      </c>
      <c r="B7" t="s">
        <v>25</v>
      </c>
      <c r="C7">
        <v>550</v>
      </c>
      <c r="D7">
        <v>59.26</v>
      </c>
      <c r="E7">
        <f>D7*C7</f>
        <v>32593</v>
      </c>
      <c r="F7">
        <v>9000</v>
      </c>
      <c r="G7" t="s">
        <v>47</v>
      </c>
      <c r="H7" t="s">
        <v>87</v>
      </c>
      <c r="I7">
        <f>C7</f>
        <v>550</v>
      </c>
      <c r="J7" s="3" t="s">
        <v>72</v>
      </c>
      <c r="K7" s="3"/>
      <c r="L7">
        <v>3</v>
      </c>
    </row>
    <row r="8" spans="1:12" x14ac:dyDescent="0.3">
      <c r="A8" t="s">
        <v>16</v>
      </c>
      <c r="B8" t="s">
        <v>63</v>
      </c>
      <c r="C8">
        <v>856</v>
      </c>
      <c r="D8">
        <v>44.78</v>
      </c>
      <c r="E8">
        <f>D8*C8</f>
        <v>38331.68</v>
      </c>
      <c r="F8">
        <v>9000</v>
      </c>
      <c r="G8" t="s">
        <v>40</v>
      </c>
      <c r="H8" t="s">
        <v>68</v>
      </c>
      <c r="I8">
        <v>0</v>
      </c>
      <c r="J8" s="3" t="s">
        <v>72</v>
      </c>
      <c r="K8" s="3"/>
      <c r="L8">
        <v>0</v>
      </c>
    </row>
    <row r="9" spans="1:12" x14ac:dyDescent="0.3">
      <c r="A9" t="s">
        <v>13</v>
      </c>
      <c r="B9" t="s">
        <v>25</v>
      </c>
      <c r="C9">
        <v>833</v>
      </c>
      <c r="D9">
        <v>26.01</v>
      </c>
      <c r="E9">
        <f>D9*C9</f>
        <v>21666.33</v>
      </c>
      <c r="F9">
        <v>8000</v>
      </c>
      <c r="G9" t="s">
        <v>45</v>
      </c>
      <c r="H9" t="s">
        <v>5</v>
      </c>
      <c r="I9">
        <v>0</v>
      </c>
      <c r="J9" s="3" t="s">
        <v>72</v>
      </c>
      <c r="K9" s="3"/>
      <c r="L9">
        <v>2</v>
      </c>
    </row>
    <row r="10" spans="1:12" x14ac:dyDescent="0.3">
      <c r="A10" t="s">
        <v>31</v>
      </c>
      <c r="B10" t="s">
        <v>51</v>
      </c>
      <c r="C10">
        <v>470</v>
      </c>
      <c r="D10">
        <v>24.06</v>
      </c>
      <c r="E10">
        <f>D10*C10</f>
        <v>11308.199999999999</v>
      </c>
      <c r="F10">
        <v>5000</v>
      </c>
      <c r="G10" t="s">
        <v>10</v>
      </c>
      <c r="H10" t="s">
        <v>5</v>
      </c>
      <c r="I10">
        <v>0</v>
      </c>
      <c r="J10" s="3" t="s">
        <v>72</v>
      </c>
      <c r="K10" s="3"/>
      <c r="L10">
        <v>2</v>
      </c>
    </row>
    <row r="11" spans="1:12" x14ac:dyDescent="0.3">
      <c r="A11" t="s">
        <v>33</v>
      </c>
      <c r="B11" t="s">
        <v>25</v>
      </c>
      <c r="C11">
        <v>842</v>
      </c>
      <c r="D11">
        <v>59.24</v>
      </c>
      <c r="E11">
        <f>D11*C11</f>
        <v>49880.08</v>
      </c>
      <c r="F11">
        <v>6000</v>
      </c>
      <c r="G11" t="s">
        <v>45</v>
      </c>
      <c r="H11" t="s">
        <v>87</v>
      </c>
      <c r="I11">
        <f>C11</f>
        <v>842</v>
      </c>
      <c r="J11" s="3" t="s">
        <v>85</v>
      </c>
      <c r="K11" s="3"/>
      <c r="L11">
        <v>0</v>
      </c>
    </row>
    <row r="12" spans="1:12" x14ac:dyDescent="0.3">
      <c r="A12" t="s">
        <v>9</v>
      </c>
      <c r="B12" t="s">
        <v>18</v>
      </c>
      <c r="C12">
        <v>438</v>
      </c>
      <c r="D12">
        <v>52.8</v>
      </c>
      <c r="E12">
        <f>D12*C12</f>
        <v>23126.399999999998</v>
      </c>
      <c r="F12">
        <v>7000</v>
      </c>
      <c r="G12" t="s">
        <v>10</v>
      </c>
      <c r="H12" t="s">
        <v>87</v>
      </c>
      <c r="I12">
        <f>C12</f>
        <v>438</v>
      </c>
      <c r="J12" s="3" t="s">
        <v>72</v>
      </c>
      <c r="K12" s="3"/>
      <c r="L12">
        <v>0</v>
      </c>
    </row>
    <row r="13" spans="1:12" x14ac:dyDescent="0.3">
      <c r="A13" t="s">
        <v>37</v>
      </c>
      <c r="B13" t="s">
        <v>57</v>
      </c>
      <c r="C13">
        <v>696</v>
      </c>
      <c r="D13">
        <v>85.22</v>
      </c>
      <c r="E13">
        <f>D13*C13</f>
        <v>59313.120000000003</v>
      </c>
      <c r="F13">
        <v>5000</v>
      </c>
      <c r="G13" t="s">
        <v>23</v>
      </c>
      <c r="H13" t="s">
        <v>5</v>
      </c>
      <c r="I13">
        <v>0</v>
      </c>
      <c r="J13" s="3" t="s">
        <v>72</v>
      </c>
      <c r="K13" s="3"/>
      <c r="L13">
        <v>3</v>
      </c>
    </row>
    <row r="14" spans="1:12" x14ac:dyDescent="0.3">
      <c r="A14" t="s">
        <v>61</v>
      </c>
      <c r="B14" t="s">
        <v>25</v>
      </c>
      <c r="C14">
        <v>202</v>
      </c>
      <c r="D14">
        <v>78.59</v>
      </c>
      <c r="E14">
        <f>D14*C14</f>
        <v>15875.18</v>
      </c>
      <c r="F14">
        <v>5000</v>
      </c>
      <c r="G14" t="s">
        <v>47</v>
      </c>
      <c r="H14" t="s">
        <v>87</v>
      </c>
      <c r="I14">
        <f>C14</f>
        <v>202</v>
      </c>
      <c r="J14" s="3" t="s">
        <v>72</v>
      </c>
      <c r="K14" s="3"/>
      <c r="L14">
        <v>0</v>
      </c>
    </row>
    <row r="15" spans="1:12" x14ac:dyDescent="0.3">
      <c r="A15" t="s">
        <v>29</v>
      </c>
      <c r="B15" t="s">
        <v>36</v>
      </c>
      <c r="C15">
        <v>753</v>
      </c>
      <c r="D15">
        <v>25.47</v>
      </c>
      <c r="E15">
        <f>D15*C15</f>
        <v>19178.91</v>
      </c>
      <c r="F15">
        <v>7000</v>
      </c>
      <c r="G15" t="s">
        <v>40</v>
      </c>
      <c r="H15" t="s">
        <v>87</v>
      </c>
      <c r="I15">
        <f>C15</f>
        <v>753</v>
      </c>
      <c r="J15" s="3" t="s">
        <v>72</v>
      </c>
      <c r="K15" s="3"/>
      <c r="L15">
        <v>0</v>
      </c>
    </row>
    <row r="16" spans="1:12" x14ac:dyDescent="0.3">
      <c r="A16" t="s">
        <v>52</v>
      </c>
      <c r="B16" t="s">
        <v>12</v>
      </c>
      <c r="C16">
        <v>663</v>
      </c>
      <c r="D16">
        <v>30.56</v>
      </c>
      <c r="E16">
        <f>D16*C16</f>
        <v>20261.28</v>
      </c>
      <c r="F16">
        <v>7000</v>
      </c>
      <c r="G16" t="s">
        <v>47</v>
      </c>
      <c r="H16" t="s">
        <v>5</v>
      </c>
      <c r="I16">
        <v>0</v>
      </c>
      <c r="J16" s="3" t="s">
        <v>72</v>
      </c>
      <c r="K16" s="3"/>
      <c r="L16">
        <v>2</v>
      </c>
    </row>
    <row r="17" spans="1:12" x14ac:dyDescent="0.3">
      <c r="A17" t="s">
        <v>20</v>
      </c>
      <c r="B17" t="s">
        <v>25</v>
      </c>
      <c r="C17">
        <v>542</v>
      </c>
      <c r="D17">
        <v>45</v>
      </c>
      <c r="E17">
        <f>D17*C17</f>
        <v>24390</v>
      </c>
      <c r="F17">
        <v>6000</v>
      </c>
      <c r="G17" t="s">
        <v>45</v>
      </c>
      <c r="H17" t="s">
        <v>5</v>
      </c>
      <c r="I17">
        <v>375</v>
      </c>
      <c r="J17" s="3" t="s">
        <v>86</v>
      </c>
      <c r="K17" s="3"/>
      <c r="L17">
        <v>3</v>
      </c>
    </row>
    <row r="18" spans="1:12" x14ac:dyDescent="0.3">
      <c r="A18" t="s">
        <v>30</v>
      </c>
      <c r="B18" t="s">
        <v>51</v>
      </c>
      <c r="C18">
        <v>397</v>
      </c>
      <c r="D18">
        <v>10.4</v>
      </c>
      <c r="E18">
        <f>D18*C18</f>
        <v>4128.8</v>
      </c>
      <c r="F18">
        <v>8000</v>
      </c>
      <c r="G18" t="s">
        <v>10</v>
      </c>
      <c r="H18" t="s">
        <v>5</v>
      </c>
      <c r="I18">
        <v>0</v>
      </c>
      <c r="J18" s="3" t="s">
        <v>72</v>
      </c>
      <c r="K18" s="3"/>
      <c r="L18">
        <v>2</v>
      </c>
    </row>
    <row r="19" spans="1:12" x14ac:dyDescent="0.3">
      <c r="A19" t="s">
        <v>41</v>
      </c>
      <c r="B19" t="s">
        <v>25</v>
      </c>
      <c r="C19">
        <v>882</v>
      </c>
      <c r="D19">
        <v>47.39</v>
      </c>
      <c r="E19">
        <f>D19*C19</f>
        <v>41797.980000000003</v>
      </c>
      <c r="F19">
        <v>9000</v>
      </c>
      <c r="G19" t="s">
        <v>45</v>
      </c>
      <c r="H19" t="s">
        <v>68</v>
      </c>
      <c r="I19">
        <v>0</v>
      </c>
      <c r="J19" s="3" t="s">
        <v>72</v>
      </c>
      <c r="K19" s="3"/>
      <c r="L19">
        <v>0</v>
      </c>
    </row>
    <row r="20" spans="1:12" x14ac:dyDescent="0.3">
      <c r="A20" t="s">
        <v>6</v>
      </c>
      <c r="B20" t="s">
        <v>12</v>
      </c>
      <c r="C20">
        <v>970</v>
      </c>
      <c r="D20">
        <v>14.95</v>
      </c>
      <c r="E20">
        <f>D20*C20</f>
        <v>14501.5</v>
      </c>
      <c r="F20">
        <v>5000</v>
      </c>
      <c r="G20" t="s">
        <v>47</v>
      </c>
      <c r="H20" t="s">
        <v>87</v>
      </c>
      <c r="I20">
        <f>C20</f>
        <v>970</v>
      </c>
      <c r="J20" s="3" t="s">
        <v>72</v>
      </c>
      <c r="K20" s="3"/>
      <c r="L20">
        <v>1</v>
      </c>
    </row>
    <row r="21" spans="1:12" x14ac:dyDescent="0.3">
      <c r="A21" t="s">
        <v>64</v>
      </c>
      <c r="B21" t="s">
        <v>63</v>
      </c>
      <c r="C21">
        <v>137</v>
      </c>
      <c r="D21">
        <v>18.73</v>
      </c>
      <c r="E21">
        <f>D21*C21</f>
        <v>2566.0100000000002</v>
      </c>
      <c r="F21">
        <v>7000</v>
      </c>
      <c r="G21" t="s">
        <v>40</v>
      </c>
      <c r="H21" t="s">
        <v>87</v>
      </c>
      <c r="I21">
        <f>C21</f>
        <v>137</v>
      </c>
      <c r="J21" s="3" t="s">
        <v>74</v>
      </c>
      <c r="K21" s="3"/>
      <c r="L21">
        <v>2</v>
      </c>
    </row>
    <row r="22" spans="1:12" x14ac:dyDescent="0.3">
      <c r="A22" t="s">
        <v>32</v>
      </c>
      <c r="B22" t="s">
        <v>57</v>
      </c>
      <c r="C22">
        <v>680</v>
      </c>
      <c r="D22">
        <v>88.18</v>
      </c>
      <c r="E22">
        <f>D22*C22</f>
        <v>59962.400000000001</v>
      </c>
      <c r="F22">
        <v>7000</v>
      </c>
      <c r="G22" t="s">
        <v>23</v>
      </c>
      <c r="H22" t="s">
        <v>5</v>
      </c>
      <c r="I22">
        <v>655</v>
      </c>
      <c r="J22" s="3" t="s">
        <v>82</v>
      </c>
      <c r="K22" s="3"/>
      <c r="L22">
        <v>1</v>
      </c>
    </row>
    <row r="23" spans="1:12" x14ac:dyDescent="0.3">
      <c r="A23" t="s">
        <v>7</v>
      </c>
      <c r="B23" t="s">
        <v>18</v>
      </c>
      <c r="C23">
        <v>259</v>
      </c>
      <c r="D23">
        <v>61.58</v>
      </c>
      <c r="E23">
        <f>D23*C23</f>
        <v>15949.22</v>
      </c>
      <c r="F23">
        <v>6000</v>
      </c>
      <c r="G23" t="s">
        <v>10</v>
      </c>
      <c r="H23" t="s">
        <v>87</v>
      </c>
      <c r="I23">
        <f>C23</f>
        <v>259</v>
      </c>
      <c r="J23" s="3" t="s">
        <v>77</v>
      </c>
      <c r="K23" s="3"/>
      <c r="L23">
        <v>3</v>
      </c>
    </row>
    <row r="24" spans="1:12" x14ac:dyDescent="0.3">
      <c r="A24" t="s">
        <v>50</v>
      </c>
      <c r="B24" t="s">
        <v>63</v>
      </c>
      <c r="C24">
        <v>901</v>
      </c>
      <c r="D24">
        <v>26.36</v>
      </c>
      <c r="E24">
        <f>D24*C24</f>
        <v>23750.36</v>
      </c>
      <c r="F24">
        <v>6000</v>
      </c>
      <c r="G24" t="s">
        <v>23</v>
      </c>
      <c r="H24" t="s">
        <v>87</v>
      </c>
      <c r="I24">
        <f>C24</f>
        <v>901</v>
      </c>
      <c r="J24" s="3" t="s">
        <v>72</v>
      </c>
      <c r="K24" s="3"/>
      <c r="L24">
        <v>3</v>
      </c>
    </row>
    <row r="25" spans="1:12" x14ac:dyDescent="0.3">
      <c r="A25" t="s">
        <v>53</v>
      </c>
      <c r="B25" t="s">
        <v>63</v>
      </c>
      <c r="C25">
        <v>230</v>
      </c>
      <c r="D25">
        <v>74.430000000000007</v>
      </c>
      <c r="E25">
        <f>D25*C25</f>
        <v>17118.900000000001</v>
      </c>
      <c r="F25">
        <v>8000</v>
      </c>
      <c r="G25" t="s">
        <v>23</v>
      </c>
      <c r="H25" t="s">
        <v>87</v>
      </c>
      <c r="I25">
        <f>C25</f>
        <v>230</v>
      </c>
      <c r="J25" s="3" t="s">
        <v>80</v>
      </c>
      <c r="K25" s="3"/>
      <c r="L25">
        <v>1</v>
      </c>
    </row>
    <row r="26" spans="1:12" x14ac:dyDescent="0.3">
      <c r="A26" t="s">
        <v>49</v>
      </c>
      <c r="B26" t="s">
        <v>12</v>
      </c>
      <c r="C26">
        <v>651</v>
      </c>
      <c r="D26">
        <v>15.63</v>
      </c>
      <c r="E26">
        <f>D26*C26</f>
        <v>10175.130000000001</v>
      </c>
      <c r="F26">
        <v>8000</v>
      </c>
      <c r="G26" t="s">
        <v>47</v>
      </c>
      <c r="H26" t="s">
        <v>68</v>
      </c>
      <c r="I26">
        <v>0</v>
      </c>
      <c r="J26" s="3" t="s">
        <v>72</v>
      </c>
      <c r="K26" s="3"/>
      <c r="L26">
        <v>0</v>
      </c>
    </row>
    <row r="27" spans="1:12" x14ac:dyDescent="0.3">
      <c r="A27" t="s">
        <v>35</v>
      </c>
      <c r="B27" t="s">
        <v>25</v>
      </c>
      <c r="C27">
        <v>636</v>
      </c>
      <c r="D27">
        <v>74.739999999999995</v>
      </c>
      <c r="E27">
        <f>D27*C27</f>
        <v>47534.64</v>
      </c>
      <c r="F27">
        <v>6000</v>
      </c>
      <c r="G27" t="s">
        <v>47</v>
      </c>
      <c r="H27" t="s">
        <v>87</v>
      </c>
      <c r="I27">
        <f>C27</f>
        <v>636</v>
      </c>
      <c r="J27" s="3" t="s">
        <v>72</v>
      </c>
      <c r="K27" s="3"/>
      <c r="L27">
        <v>2</v>
      </c>
    </row>
    <row r="28" spans="1:12" x14ac:dyDescent="0.3">
      <c r="A28" t="s">
        <v>34</v>
      </c>
      <c r="B28" t="s">
        <v>43</v>
      </c>
      <c r="C28">
        <v>859</v>
      </c>
      <c r="D28">
        <v>95.14</v>
      </c>
      <c r="E28">
        <f>D28*C28</f>
        <v>81725.259999999995</v>
      </c>
      <c r="F28">
        <v>5000</v>
      </c>
      <c r="G28" t="s">
        <v>45</v>
      </c>
      <c r="H28" t="s">
        <v>87</v>
      </c>
      <c r="I28">
        <f>C28</f>
        <v>859</v>
      </c>
      <c r="J28" s="3" t="s">
        <v>72</v>
      </c>
      <c r="K28" s="3"/>
      <c r="L28">
        <v>0</v>
      </c>
    </row>
    <row r="29" spans="1:12" x14ac:dyDescent="0.3">
      <c r="A29" t="s">
        <v>28</v>
      </c>
      <c r="B29" t="s">
        <v>25</v>
      </c>
      <c r="C29">
        <v>690</v>
      </c>
      <c r="D29">
        <v>45.39</v>
      </c>
      <c r="E29">
        <f>D29*C29</f>
        <v>31319.100000000002</v>
      </c>
      <c r="F29">
        <v>7000</v>
      </c>
      <c r="G29" t="s">
        <v>47</v>
      </c>
      <c r="H29" t="s">
        <v>87</v>
      </c>
      <c r="I29">
        <f>C29</f>
        <v>690</v>
      </c>
      <c r="J29" s="3" t="s">
        <v>81</v>
      </c>
      <c r="K29" s="3"/>
      <c r="L29">
        <v>0</v>
      </c>
    </row>
    <row r="30" spans="1:12" x14ac:dyDescent="0.3">
      <c r="A30" t="s">
        <v>22</v>
      </c>
      <c r="B30" t="s">
        <v>63</v>
      </c>
      <c r="C30">
        <v>206</v>
      </c>
      <c r="D30">
        <v>70.89</v>
      </c>
      <c r="E30">
        <f>D30*C30</f>
        <v>14603.34</v>
      </c>
      <c r="F30">
        <v>7000</v>
      </c>
      <c r="G30" t="s">
        <v>23</v>
      </c>
      <c r="H30" t="s">
        <v>87</v>
      </c>
      <c r="I30">
        <f>C30</f>
        <v>206</v>
      </c>
      <c r="J30" s="3" t="s">
        <v>72</v>
      </c>
      <c r="K30" s="3"/>
      <c r="L30">
        <v>0</v>
      </c>
    </row>
    <row r="31" spans="1:12" x14ac:dyDescent="0.3">
      <c r="A31" t="s">
        <v>67</v>
      </c>
      <c r="B31" t="s">
        <v>57</v>
      </c>
      <c r="C31">
        <v>771</v>
      </c>
      <c r="D31">
        <v>97.29</v>
      </c>
      <c r="E31">
        <f>D31*C31</f>
        <v>75010.590000000011</v>
      </c>
      <c r="F31">
        <v>8000</v>
      </c>
      <c r="G31" t="s">
        <v>23</v>
      </c>
      <c r="H31" t="s">
        <v>87</v>
      </c>
      <c r="I31">
        <f>C31</f>
        <v>771</v>
      </c>
      <c r="J31" s="3" t="s">
        <v>72</v>
      </c>
      <c r="K31" s="3"/>
      <c r="L31">
        <v>0</v>
      </c>
    </row>
    <row r="32" spans="1:12" x14ac:dyDescent="0.3">
      <c r="A32" t="s">
        <v>44</v>
      </c>
      <c r="B32" t="s">
        <v>43</v>
      </c>
      <c r="C32">
        <v>628</v>
      </c>
      <c r="D32">
        <v>69.14</v>
      </c>
      <c r="E32">
        <f>D32*C32</f>
        <v>43419.92</v>
      </c>
      <c r="F32">
        <v>7000</v>
      </c>
      <c r="G32" t="s">
        <v>45</v>
      </c>
      <c r="H32" t="s">
        <v>87</v>
      </c>
      <c r="I32">
        <f>C32</f>
        <v>628</v>
      </c>
      <c r="J32" s="3" t="s">
        <v>72</v>
      </c>
      <c r="K32" s="3"/>
      <c r="L32">
        <v>1</v>
      </c>
    </row>
    <row r="33" spans="1:12" x14ac:dyDescent="0.3">
      <c r="A33" t="s">
        <v>55</v>
      </c>
      <c r="B33" t="s">
        <v>36</v>
      </c>
      <c r="C33">
        <v>901</v>
      </c>
      <c r="D33">
        <v>23.28</v>
      </c>
      <c r="E33">
        <f>D33*C33</f>
        <v>20975.280000000002</v>
      </c>
      <c r="F33">
        <v>6000</v>
      </c>
      <c r="G33" t="s">
        <v>40</v>
      </c>
      <c r="H33" t="s">
        <v>87</v>
      </c>
      <c r="I33">
        <f>C33</f>
        <v>901</v>
      </c>
      <c r="J33" s="3" t="s">
        <v>72</v>
      </c>
      <c r="K33" s="3"/>
      <c r="L33">
        <v>0</v>
      </c>
    </row>
    <row r="34" spans="1:12" x14ac:dyDescent="0.3">
      <c r="A34" t="s">
        <v>60</v>
      </c>
      <c r="B34" t="s">
        <v>57</v>
      </c>
      <c r="C34">
        <v>418</v>
      </c>
      <c r="D34">
        <v>56.08</v>
      </c>
      <c r="E34">
        <f>D34*C34</f>
        <v>23441.439999999999</v>
      </c>
      <c r="F34">
        <v>7000</v>
      </c>
      <c r="G34" t="s">
        <v>23</v>
      </c>
      <c r="H34" t="s">
        <v>87</v>
      </c>
      <c r="I34">
        <f>C34</f>
        <v>418</v>
      </c>
      <c r="J34" s="3" t="s">
        <v>81</v>
      </c>
      <c r="K34" s="3"/>
      <c r="L34">
        <v>0</v>
      </c>
    </row>
    <row r="35" spans="1:12" x14ac:dyDescent="0.3">
      <c r="A35" t="s">
        <v>62</v>
      </c>
      <c r="B35" t="s">
        <v>63</v>
      </c>
      <c r="C35">
        <v>990</v>
      </c>
      <c r="D35">
        <v>89.89</v>
      </c>
      <c r="E35">
        <f>D35*C35</f>
        <v>88991.1</v>
      </c>
      <c r="F35">
        <v>6000</v>
      </c>
      <c r="G35" t="s">
        <v>23</v>
      </c>
      <c r="H35" t="s">
        <v>87</v>
      </c>
      <c r="I35">
        <f>C35</f>
        <v>990</v>
      </c>
      <c r="J35" s="3" t="s">
        <v>74</v>
      </c>
      <c r="K35" s="3"/>
      <c r="L35">
        <v>2</v>
      </c>
    </row>
    <row r="36" spans="1:12" x14ac:dyDescent="0.3">
      <c r="A36" t="s">
        <v>14</v>
      </c>
      <c r="B36" t="s">
        <v>36</v>
      </c>
      <c r="C36">
        <v>915</v>
      </c>
      <c r="D36">
        <v>89.56</v>
      </c>
      <c r="E36">
        <f>D36*C36</f>
        <v>81947.400000000009</v>
      </c>
      <c r="F36">
        <v>7000</v>
      </c>
      <c r="G36" t="s">
        <v>40</v>
      </c>
      <c r="H36" t="s">
        <v>87</v>
      </c>
      <c r="I36">
        <f>C36</f>
        <v>915</v>
      </c>
      <c r="J36" s="3" t="s">
        <v>73</v>
      </c>
      <c r="K36" s="3"/>
      <c r="L36">
        <v>3</v>
      </c>
    </row>
    <row r="37" spans="1:12" x14ac:dyDescent="0.3">
      <c r="A37" t="s">
        <v>17</v>
      </c>
      <c r="B37" t="s">
        <v>18</v>
      </c>
      <c r="C37">
        <v>655</v>
      </c>
      <c r="D37">
        <v>40.03</v>
      </c>
      <c r="E37">
        <f>D37*C37</f>
        <v>26219.65</v>
      </c>
      <c r="F37">
        <v>8000</v>
      </c>
      <c r="G37" t="s">
        <v>10</v>
      </c>
      <c r="H37" t="s">
        <v>87</v>
      </c>
      <c r="I37">
        <f>C37</f>
        <v>655</v>
      </c>
      <c r="J37" s="3" t="s">
        <v>72</v>
      </c>
      <c r="K37" s="3"/>
      <c r="L37">
        <v>1</v>
      </c>
    </row>
    <row r="38" spans="1:12" x14ac:dyDescent="0.3">
      <c r="A38" t="s">
        <v>11</v>
      </c>
      <c r="B38" t="s">
        <v>63</v>
      </c>
      <c r="C38">
        <v>577</v>
      </c>
      <c r="D38">
        <v>46.29</v>
      </c>
      <c r="E38">
        <f>D38*C38</f>
        <v>26709.329999999998</v>
      </c>
      <c r="F38">
        <v>8000</v>
      </c>
      <c r="G38" t="s">
        <v>23</v>
      </c>
      <c r="H38" t="s">
        <v>87</v>
      </c>
      <c r="I38">
        <f>C38</f>
        <v>577</v>
      </c>
      <c r="J38" s="3" t="s">
        <v>72</v>
      </c>
      <c r="K38" s="3"/>
      <c r="L38">
        <v>2</v>
      </c>
    </row>
    <row r="39" spans="1:12" x14ac:dyDescent="0.3">
      <c r="A39" t="s">
        <v>24</v>
      </c>
      <c r="B39" t="s">
        <v>57</v>
      </c>
      <c r="C39">
        <v>875</v>
      </c>
      <c r="D39">
        <v>88.57</v>
      </c>
      <c r="E39">
        <f>D39*C39</f>
        <v>77498.75</v>
      </c>
      <c r="F39">
        <v>9000</v>
      </c>
      <c r="G39" t="s">
        <v>23</v>
      </c>
      <c r="H39" t="s">
        <v>5</v>
      </c>
      <c r="I39">
        <v>0</v>
      </c>
      <c r="J39" s="3" t="s">
        <v>72</v>
      </c>
      <c r="K39" s="3"/>
      <c r="L39">
        <v>1</v>
      </c>
    </row>
    <row r="40" spans="1:12" x14ac:dyDescent="0.3">
      <c r="A40" t="s">
        <v>42</v>
      </c>
      <c r="B40" t="s">
        <v>18</v>
      </c>
      <c r="C40">
        <v>535</v>
      </c>
      <c r="D40">
        <v>67.12</v>
      </c>
      <c r="E40">
        <f>D40*C40</f>
        <v>35909.200000000004</v>
      </c>
      <c r="F40">
        <v>7000</v>
      </c>
      <c r="G40" t="s">
        <v>10</v>
      </c>
      <c r="H40" t="s">
        <v>87</v>
      </c>
      <c r="I40">
        <f>C40</f>
        <v>535</v>
      </c>
      <c r="J40" s="3" t="s">
        <v>72</v>
      </c>
      <c r="K40" s="3"/>
      <c r="L40">
        <v>2</v>
      </c>
    </row>
    <row r="41" spans="1:12" x14ac:dyDescent="0.3">
      <c r="A41" t="s">
        <v>27</v>
      </c>
      <c r="B41" t="s">
        <v>25</v>
      </c>
      <c r="C41">
        <v>205</v>
      </c>
      <c r="D41">
        <v>92.14</v>
      </c>
      <c r="E41">
        <f>D41*C41</f>
        <v>18888.7</v>
      </c>
      <c r="F41">
        <v>6000</v>
      </c>
      <c r="G41" t="s">
        <v>45</v>
      </c>
      <c r="H41" t="s">
        <v>87</v>
      </c>
      <c r="I41">
        <f>C41</f>
        <v>205</v>
      </c>
      <c r="J41" s="3" t="s">
        <v>81</v>
      </c>
      <c r="K41" s="3"/>
      <c r="L41">
        <v>3</v>
      </c>
    </row>
    <row r="42" spans="1:12" x14ac:dyDescent="0.3">
      <c r="A42" t="s">
        <v>66</v>
      </c>
      <c r="B42" t="s">
        <v>43</v>
      </c>
      <c r="C42">
        <v>584</v>
      </c>
      <c r="D42">
        <v>76.28</v>
      </c>
      <c r="E42">
        <f>D42*C42</f>
        <v>44547.520000000004</v>
      </c>
      <c r="F42">
        <v>6000</v>
      </c>
      <c r="G42" t="s">
        <v>45</v>
      </c>
      <c r="H42" t="s">
        <v>87</v>
      </c>
      <c r="I42">
        <f>C42</f>
        <v>584</v>
      </c>
      <c r="J42" s="3" t="s">
        <v>74</v>
      </c>
      <c r="K42" s="3"/>
      <c r="L42">
        <v>0</v>
      </c>
    </row>
    <row r="43" spans="1:12" x14ac:dyDescent="0.3">
      <c r="A43" t="s">
        <v>26</v>
      </c>
      <c r="B43" t="s">
        <v>43</v>
      </c>
      <c r="C43">
        <v>285</v>
      </c>
      <c r="D43">
        <v>80.14</v>
      </c>
      <c r="E43">
        <f>D43*C43</f>
        <v>22839.9</v>
      </c>
      <c r="F43">
        <v>6000</v>
      </c>
      <c r="G43" t="s">
        <v>45</v>
      </c>
      <c r="H43" t="s">
        <v>87</v>
      </c>
      <c r="I43">
        <f>C43</f>
        <v>285</v>
      </c>
      <c r="J43" s="3" t="s">
        <v>72</v>
      </c>
      <c r="K43" s="3"/>
      <c r="L43">
        <v>2</v>
      </c>
    </row>
    <row r="44" spans="1:12" x14ac:dyDescent="0.3">
      <c r="A44" t="s">
        <v>39</v>
      </c>
      <c r="B44" t="s">
        <v>36</v>
      </c>
      <c r="C44">
        <v>371</v>
      </c>
      <c r="D44">
        <v>68.27</v>
      </c>
      <c r="E44">
        <f>D44*C44</f>
        <v>25328.17</v>
      </c>
      <c r="F44">
        <v>7000</v>
      </c>
      <c r="G44" t="s">
        <v>40</v>
      </c>
      <c r="H44" t="s">
        <v>87</v>
      </c>
      <c r="I44">
        <v>371</v>
      </c>
      <c r="J44" s="3" t="s">
        <v>71</v>
      </c>
      <c r="K44" s="3"/>
      <c r="L44">
        <v>0</v>
      </c>
    </row>
    <row r="45" spans="1:12" x14ac:dyDescent="0.3">
      <c r="A45" t="s">
        <v>65</v>
      </c>
      <c r="B45" t="s">
        <v>36</v>
      </c>
      <c r="C45">
        <v>855</v>
      </c>
      <c r="D45">
        <v>32.33</v>
      </c>
      <c r="E45">
        <f>D45*C45</f>
        <v>27642.149999999998</v>
      </c>
      <c r="F45">
        <v>9000</v>
      </c>
      <c r="G45" t="s">
        <v>40</v>
      </c>
      <c r="H45" t="s">
        <v>87</v>
      </c>
      <c r="I45">
        <f>C45</f>
        <v>855</v>
      </c>
      <c r="J45" s="3" t="s">
        <v>74</v>
      </c>
      <c r="K45" s="3"/>
      <c r="L45">
        <v>3</v>
      </c>
    </row>
    <row r="46" spans="1:12" x14ac:dyDescent="0.3">
      <c r="A46" t="s">
        <v>54</v>
      </c>
      <c r="B46" t="s">
        <v>63</v>
      </c>
      <c r="C46">
        <v>193</v>
      </c>
      <c r="D46">
        <v>48.96</v>
      </c>
      <c r="E46">
        <f>D46*C46</f>
        <v>9449.2800000000007</v>
      </c>
      <c r="F46">
        <v>8000</v>
      </c>
      <c r="G46" t="s">
        <v>40</v>
      </c>
      <c r="H46" t="s">
        <v>5</v>
      </c>
      <c r="I46">
        <v>0</v>
      </c>
      <c r="J46" s="3" t="s">
        <v>76</v>
      </c>
      <c r="K46" s="3"/>
      <c r="L46">
        <v>0</v>
      </c>
    </row>
    <row r="47" spans="1:12" x14ac:dyDescent="0.3">
      <c r="A47" t="s">
        <v>48</v>
      </c>
      <c r="B47" t="s">
        <v>63</v>
      </c>
      <c r="C47">
        <v>735</v>
      </c>
      <c r="D47">
        <v>76.63</v>
      </c>
      <c r="E47">
        <f>D47*C47</f>
        <v>56323.049999999996</v>
      </c>
      <c r="F47">
        <v>9000</v>
      </c>
      <c r="G47" t="s">
        <v>40</v>
      </c>
      <c r="H47" t="s">
        <v>87</v>
      </c>
      <c r="I47">
        <f>C47</f>
        <v>735</v>
      </c>
      <c r="J47" s="3" t="s">
        <v>75</v>
      </c>
      <c r="K47" s="3"/>
      <c r="L47">
        <v>0</v>
      </c>
    </row>
    <row r="48" spans="1:12" x14ac:dyDescent="0.3">
      <c r="A48" t="s">
        <v>15</v>
      </c>
      <c r="B48" t="s">
        <v>12</v>
      </c>
      <c r="C48">
        <v>545</v>
      </c>
      <c r="D48">
        <v>49.41</v>
      </c>
      <c r="E48">
        <f>D48*C48</f>
        <v>26928.449999999997</v>
      </c>
      <c r="F48">
        <v>8000</v>
      </c>
      <c r="G48" t="s">
        <v>47</v>
      </c>
      <c r="H48" t="s">
        <v>87</v>
      </c>
      <c r="I48">
        <f>C48</f>
        <v>545</v>
      </c>
      <c r="J48" s="3" t="s">
        <v>83</v>
      </c>
      <c r="K48" s="3"/>
      <c r="L48">
        <v>0</v>
      </c>
    </row>
    <row r="49" spans="1:12" x14ac:dyDescent="0.3">
      <c r="A49" t="s">
        <v>8</v>
      </c>
      <c r="B49" t="s">
        <v>51</v>
      </c>
      <c r="C49">
        <v>799</v>
      </c>
      <c r="D49">
        <v>57.26</v>
      </c>
      <c r="E49">
        <f>D49*C49</f>
        <v>45750.74</v>
      </c>
      <c r="F49">
        <v>5000</v>
      </c>
      <c r="G49" t="s">
        <v>10</v>
      </c>
      <c r="H49" t="s">
        <v>87</v>
      </c>
      <c r="I49">
        <f>C49</f>
        <v>799</v>
      </c>
      <c r="J49" s="3" t="s">
        <v>78</v>
      </c>
      <c r="K49" s="3"/>
      <c r="L49">
        <v>0</v>
      </c>
    </row>
    <row r="50" spans="1:12" x14ac:dyDescent="0.3">
      <c r="A50" t="s">
        <v>46</v>
      </c>
      <c r="B50" t="s">
        <v>25</v>
      </c>
      <c r="C50">
        <v>324</v>
      </c>
      <c r="D50">
        <v>86.33</v>
      </c>
      <c r="E50">
        <f>D50*C50</f>
        <v>27970.92</v>
      </c>
      <c r="F50">
        <v>7000</v>
      </c>
      <c r="G50" t="s">
        <v>47</v>
      </c>
      <c r="H50" t="s">
        <v>87</v>
      </c>
      <c r="I50">
        <f>C50</f>
        <v>324</v>
      </c>
      <c r="J50" s="3" t="s">
        <v>77</v>
      </c>
      <c r="K50" s="3"/>
      <c r="L50">
        <v>2</v>
      </c>
    </row>
    <row r="51" spans="1:12" x14ac:dyDescent="0.3">
      <c r="A51" t="s">
        <v>56</v>
      </c>
      <c r="B51" t="s">
        <v>12</v>
      </c>
      <c r="C51">
        <v>225</v>
      </c>
      <c r="D51">
        <v>69.62</v>
      </c>
      <c r="E51">
        <f>D51*C51</f>
        <v>15664.500000000002</v>
      </c>
      <c r="F51">
        <v>5000</v>
      </c>
      <c r="G51" t="s">
        <v>47</v>
      </c>
      <c r="H51" t="s">
        <v>5</v>
      </c>
      <c r="I51">
        <v>0</v>
      </c>
      <c r="J51" s="3" t="s">
        <v>72</v>
      </c>
      <c r="K51" s="3"/>
      <c r="L51">
        <v>3</v>
      </c>
    </row>
  </sheetData>
  <autoFilter ref="A1:L51" xr:uid="{00000000-0009-0000-0000-000000000000}">
    <sortState xmlns:xlrd2="http://schemas.microsoft.com/office/spreadsheetml/2017/richdata2" ref="A2:L51">
      <sortCondition ref="A1:A51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Akolkar,Aditya</cp:lastModifiedBy>
  <dcterms:created xsi:type="dcterms:W3CDTF">2024-08-26T21:49:17Z</dcterms:created>
  <dcterms:modified xsi:type="dcterms:W3CDTF">2025-05-24T20:20:00Z</dcterms:modified>
</cp:coreProperties>
</file>